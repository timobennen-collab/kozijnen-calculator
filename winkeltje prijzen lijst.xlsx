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K:\kozijnen\"/>
    </mc:Choice>
  </mc:AlternateContent>
  <xr:revisionPtr revIDLastSave="0" documentId="13_ncr:1_{9BD9B224-54CA-4DAA-82A0-884C722907F9}" xr6:coauthVersionLast="47" xr6:coauthVersionMax="47" xr10:uidLastSave="{00000000-0000-0000-0000-000000000000}"/>
  <bookViews>
    <workbookView xWindow="38400" yWindow="570" windowWidth="34560" windowHeight="20880" xr2:uid="{57F3B9B3-102D-4410-8915-73CB3749589E}"/>
  </bookViews>
  <sheets>
    <sheet name="Blad1" sheetId="1" r:id="rId1"/>
  </sheets>
  <definedNames>
    <definedName name="_xlnm.Print_Area" localSheetId="0">Blad1!$A$1:$G$64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" i="1" l="1"/>
  <c r="D46" i="1"/>
  <c r="D42" i="1"/>
  <c r="D43" i="1"/>
  <c r="D41" i="1"/>
  <c r="D52" i="1"/>
  <c r="D53" i="1"/>
  <c r="D51" i="1"/>
  <c r="D34" i="1"/>
  <c r="D35" i="1"/>
  <c r="D36" i="1"/>
  <c r="D37" i="1"/>
  <c r="D33" i="1"/>
  <c r="D20" i="1"/>
  <c r="D19" i="1"/>
  <c r="D23" i="1"/>
  <c r="D22" i="1"/>
  <c r="D30" i="1"/>
  <c r="D15" i="1"/>
  <c r="D16" i="1"/>
  <c r="D14" i="1"/>
  <c r="D10" i="1"/>
  <c r="D11" i="1"/>
  <c r="D9" i="1"/>
  <c r="D6" i="1"/>
  <c r="D7" i="1"/>
  <c r="D5" i="1"/>
  <c r="Q30" i="1"/>
  <c r="Q29" i="1"/>
  <c r="D29" i="1" s="1"/>
  <c r="Q28" i="1"/>
  <c r="D28" i="1" s="1"/>
  <c r="Q27" i="1"/>
  <c r="D27" i="1" s="1"/>
  <c r="Q26" i="1"/>
  <c r="D26" i="1" s="1"/>
  <c r="Q31" i="1" l="1"/>
  <c r="D31" i="1" s="1"/>
  <c r="D38" i="1"/>
</calcChain>
</file>

<file path=xl/sharedStrings.xml><?xml version="1.0" encoding="utf-8"?>
<sst xmlns="http://schemas.openxmlformats.org/spreadsheetml/2006/main" count="100" uniqueCount="52">
  <si>
    <t>prijst lijst winkeltje</t>
  </si>
  <si>
    <t>kosten</t>
  </si>
  <si>
    <t>product</t>
  </si>
  <si>
    <t>aantal</t>
  </si>
  <si>
    <t>Easyseal XPS KOMO 310 ml</t>
  </si>
  <si>
    <t>Easyseal XPS KOMO 310 ml Groen</t>
  </si>
  <si>
    <t>Afwerkspatel ARA</t>
  </si>
  <si>
    <t>Afwerkspatel Palu</t>
  </si>
  <si>
    <t>Kit</t>
  </si>
  <si>
    <t>PE-band Wit 9 x 2 pakjes à 100m</t>
  </si>
  <si>
    <t>PE-band Wit 9 x 4 pakjes à 100m</t>
  </si>
  <si>
    <t>PE-band Wit 20 x 3 2-zijdig zkl à 25m</t>
  </si>
  <si>
    <t>PE-band Wit 25 x 3 2-zijdig zkl à 25m</t>
  </si>
  <si>
    <t xml:space="preserve">Tunnelblokjes 100 x 22 x 1 </t>
  </si>
  <si>
    <t xml:space="preserve">Tunnelblokjes 100 x 22 x 2 </t>
  </si>
  <si>
    <t xml:space="preserve">Tunnelblokjes 100 x 22 x 3 </t>
  </si>
  <si>
    <t xml:space="preserve">Tunnelblokjes 100 x 22 x 4 </t>
  </si>
  <si>
    <t xml:space="preserve">Tunnelblokjes 100 x 22 x 5 </t>
  </si>
  <si>
    <t xml:space="preserve">Tunnelblokjes 100 x 30 x 3 </t>
  </si>
  <si>
    <t>Acryl exterior wit</t>
  </si>
  <si>
    <t>afmes materiaal</t>
  </si>
  <si>
    <t>glasband</t>
  </si>
  <si>
    <t>glasblokjes</t>
  </si>
  <si>
    <t>bevestegings middelen</t>
  </si>
  <si>
    <t>muur aansluiting</t>
  </si>
  <si>
    <t>BETON-KOZIJNSCHROEF SPAX VERZINKT 7,5X100MM CILINDERKOP TORX30</t>
  </si>
  <si>
    <t>BETON-KOZIJNSCHROEF SPAX VERZINKT 7,5X120MM CILINDERKOP TORX30</t>
  </si>
  <si>
    <t>BETON-KOZIJNSCHROEF SPAX VERZINKT 7,5X150MM CILINDERKOP TORX30</t>
  </si>
  <si>
    <t>deur beslag</t>
  </si>
  <si>
    <t>VH DEURBESLAG HOPPE  PC92-KT*** Alu</t>
  </si>
  <si>
    <t>VH DEURBESLAG HOPPE PC92-KT***  Zwart</t>
  </si>
  <si>
    <t>bouw cillinder 30/45</t>
  </si>
  <si>
    <t>KOZIJNSCHROEF VERZINKT 7,5X100MM CILINDERKOP TORX30</t>
  </si>
  <si>
    <t>KOZIJNSCHROEF VERZINKT 7,5X120MM CILINDERKOP TORX30</t>
  </si>
  <si>
    <t>KOZIJNSCHROEF VERZINKT 7,5X150MM CILINDERKOP TORX30</t>
  </si>
  <si>
    <t>NR</t>
  </si>
  <si>
    <t xml:space="preserve">scharnieren </t>
  </si>
  <si>
    <t>Vh Kog.scharnier 89x89 SKG</t>
  </si>
  <si>
    <t>SET TBV HET BEGLAZEN VAN EEN RAAM</t>
  </si>
  <si>
    <t>1 ZAK</t>
  </si>
  <si>
    <t>24,-</t>
  </si>
  <si>
    <t xml:space="preserve">bloem beglazingskit    </t>
  </si>
  <si>
    <t xml:space="preserve">glasband  4x9mm  20m1   </t>
  </si>
  <si>
    <t xml:space="preserve">glasblok 5mm  </t>
  </si>
  <si>
    <t xml:space="preserve">glasblok 4mm   </t>
  </si>
  <si>
    <t xml:space="preserve">ivana puurschuim 700ml </t>
  </si>
  <si>
    <t>ivana puurschuim 700ml</t>
  </si>
  <si>
    <t>voegglad flacon Den Braven 500ml</t>
  </si>
  <si>
    <t>voegglad flacon  den braven 500ml</t>
  </si>
  <si>
    <t>Zwelband Odenwald Zwart 20 x /7 - 14  4m1</t>
  </si>
  <si>
    <t>Zwelband Odenwald Zwart 20  x /7- 14</t>
  </si>
  <si>
    <t>bestellen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</si>
</sst>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D50E3-9BFE-4EF6-BD73-C804482EC2BB}">
  <sheetPr>
    <pageSetUpPr fitToPage="1"/>
  </sheetPr>
  <dimension ref="A1:Q64"/>
  <sheetViews>
    <sheetView tabSelected="1" workbookViewId="0">
      <selection activeCell="J11" sqref="J11"/>
    </sheetView>
  </sheetViews>
  <sheetFormatPr defaultRowHeight="15" x14ac:dyDescent="0.25"/>
  <cols>
    <col min="1" max="1" width="3.5703125" style="5" bestFit="1" customWidth="1"/>
    <col min="2" max="2" width="40" style="5" bestFit="1" customWidth="1"/>
    <col min="3" max="4" width="9.140625" style="5"/>
    <col min="6" max="6" width="9.42578125" bestFit="1" customWidth="1"/>
    <col min="11" max="11" width="31.42578125" bestFit="1" customWidth="1"/>
    <col min="15" max="15" width="51.85546875" customWidth="1"/>
    <col min="16" max="16" width="8.140625" customWidth="1"/>
    <col min="17" max="17" width="9.42578125" customWidth="1"/>
  </cols>
  <sheetData>
    <row r="1" spans="1:17" ht="37.5" customHeight="1" x14ac:dyDescent="0.25">
      <c r="A1" s="15" t="s">
        <v>0</v>
      </c>
      <c r="B1" s="15"/>
      <c r="C1" s="15"/>
      <c r="D1" s="15"/>
    </row>
    <row r="2" spans="1:17" x14ac:dyDescent="0.25">
      <c r="A2" s="6" t="s">
        <v>35</v>
      </c>
      <c r="B2" s="11" t="s">
        <v>2</v>
      </c>
      <c r="C2" s="6" t="s">
        <v>3</v>
      </c>
      <c r="D2" s="6" t="s">
        <v>1</v>
      </c>
      <c r="F2" s="17" t="s">
        <v>51</v>
      </c>
      <c r="O2" t="s">
        <v>2</v>
      </c>
      <c r="P2" t="s">
        <v>3</v>
      </c>
      <c r="Q2" t="s">
        <v>1</v>
      </c>
    </row>
    <row r="4" spans="1:17" x14ac:dyDescent="0.25">
      <c r="A4" s="13" t="s">
        <v>8</v>
      </c>
      <c r="B4" s="13"/>
      <c r="O4" s="1" t="s">
        <v>8</v>
      </c>
    </row>
    <row r="5" spans="1:17" x14ac:dyDescent="0.25">
      <c r="A5" s="6">
        <v>1</v>
      </c>
      <c r="B5" s="8" t="s">
        <v>4</v>
      </c>
      <c r="C5" s="8">
        <v>1</v>
      </c>
      <c r="D5" s="8">
        <f>Q5*2</f>
        <v>8.14</v>
      </c>
      <c r="F5" s="7"/>
      <c r="O5" t="s">
        <v>4</v>
      </c>
      <c r="P5" s="4">
        <v>1</v>
      </c>
      <c r="Q5">
        <v>4.07</v>
      </c>
    </row>
    <row r="6" spans="1:17" x14ac:dyDescent="0.25">
      <c r="A6" s="6">
        <v>2</v>
      </c>
      <c r="B6" s="8" t="s">
        <v>5</v>
      </c>
      <c r="C6" s="8">
        <v>1</v>
      </c>
      <c r="D6" s="8">
        <f t="shared" ref="D6:D7" si="0">Q6*2</f>
        <v>9.82</v>
      </c>
      <c r="F6" s="7"/>
      <c r="O6" t="s">
        <v>5</v>
      </c>
      <c r="P6" s="4">
        <v>1</v>
      </c>
      <c r="Q6">
        <v>4.91</v>
      </c>
    </row>
    <row r="7" spans="1:17" x14ac:dyDescent="0.25">
      <c r="A7" s="6">
        <v>3</v>
      </c>
      <c r="B7" s="8" t="s">
        <v>19</v>
      </c>
      <c r="C7" s="8">
        <v>1</v>
      </c>
      <c r="D7" s="8">
        <f t="shared" si="0"/>
        <v>3.66</v>
      </c>
      <c r="F7" s="7"/>
      <c r="O7" t="s">
        <v>19</v>
      </c>
      <c r="P7" s="4">
        <v>1</v>
      </c>
      <c r="Q7">
        <v>1.83</v>
      </c>
    </row>
    <row r="8" spans="1:17" x14ac:dyDescent="0.25">
      <c r="P8" s="4"/>
    </row>
    <row r="9" spans="1:17" x14ac:dyDescent="0.25">
      <c r="A9" s="8">
        <v>4</v>
      </c>
      <c r="B9" s="8" t="s">
        <v>4</v>
      </c>
      <c r="C9" s="8">
        <v>25</v>
      </c>
      <c r="D9" s="8">
        <f>(25*Q5)*1.4</f>
        <v>142.44999999999999</v>
      </c>
      <c r="F9" s="7"/>
      <c r="O9" t="s">
        <v>4</v>
      </c>
      <c r="P9" s="4">
        <v>25</v>
      </c>
    </row>
    <row r="10" spans="1:17" x14ac:dyDescent="0.25">
      <c r="A10" s="8">
        <v>5</v>
      </c>
      <c r="B10" s="8" t="s">
        <v>5</v>
      </c>
      <c r="C10" s="8">
        <v>25</v>
      </c>
      <c r="D10" s="8">
        <f t="shared" ref="D10:D11" si="1">(25*Q6)*1.4</f>
        <v>171.85</v>
      </c>
      <c r="F10" s="7"/>
      <c r="O10" t="s">
        <v>5</v>
      </c>
      <c r="P10" s="4">
        <v>25</v>
      </c>
    </row>
    <row r="11" spans="1:17" x14ac:dyDescent="0.25">
      <c r="A11" s="8">
        <v>6</v>
      </c>
      <c r="B11" s="8" t="s">
        <v>19</v>
      </c>
      <c r="C11" s="8">
        <v>25</v>
      </c>
      <c r="D11" s="8">
        <f t="shared" si="1"/>
        <v>64.05</v>
      </c>
      <c r="F11" s="7"/>
      <c r="O11" t="s">
        <v>19</v>
      </c>
      <c r="P11" s="4">
        <v>25</v>
      </c>
      <c r="Q11">
        <v>45.82</v>
      </c>
    </row>
    <row r="12" spans="1:17" x14ac:dyDescent="0.25">
      <c r="P12" s="4"/>
    </row>
    <row r="13" spans="1:17" x14ac:dyDescent="0.25">
      <c r="A13" s="13" t="s">
        <v>20</v>
      </c>
      <c r="B13" s="13"/>
      <c r="O13" s="1" t="s">
        <v>20</v>
      </c>
      <c r="P13" s="4"/>
    </row>
    <row r="14" spans="1:17" x14ac:dyDescent="0.25">
      <c r="A14" s="8">
        <v>7</v>
      </c>
      <c r="B14" s="8" t="s">
        <v>6</v>
      </c>
      <c r="C14" s="8">
        <v>1</v>
      </c>
      <c r="D14" s="8">
        <f>Q14*1.5</f>
        <v>11.984999999999999</v>
      </c>
      <c r="F14" s="7"/>
      <c r="O14" t="s">
        <v>6</v>
      </c>
      <c r="P14" s="4">
        <v>1</v>
      </c>
      <c r="Q14">
        <v>7.99</v>
      </c>
    </row>
    <row r="15" spans="1:17" x14ac:dyDescent="0.25">
      <c r="A15" s="8">
        <v>8</v>
      </c>
      <c r="B15" s="8" t="s">
        <v>7</v>
      </c>
      <c r="C15" s="8">
        <v>1</v>
      </c>
      <c r="D15" s="8">
        <f t="shared" ref="D15:D16" si="2">Q15*1.5</f>
        <v>13.59</v>
      </c>
      <c r="F15" s="7"/>
      <c r="O15" t="s">
        <v>7</v>
      </c>
      <c r="P15" s="4">
        <v>1</v>
      </c>
      <c r="Q15">
        <v>9.06</v>
      </c>
    </row>
    <row r="16" spans="1:17" x14ac:dyDescent="0.25">
      <c r="A16" s="8">
        <v>9</v>
      </c>
      <c r="B16" s="8" t="s">
        <v>47</v>
      </c>
      <c r="C16" s="8">
        <v>1</v>
      </c>
      <c r="D16" s="8">
        <f t="shared" si="2"/>
        <v>7.6499999999999995</v>
      </c>
      <c r="F16" s="7"/>
      <c r="O16" t="s">
        <v>48</v>
      </c>
      <c r="P16" s="4">
        <v>1</v>
      </c>
      <c r="Q16">
        <v>5.0999999999999996</v>
      </c>
    </row>
    <row r="17" spans="1:17" x14ac:dyDescent="0.25">
      <c r="P17" s="4"/>
    </row>
    <row r="18" spans="1:17" x14ac:dyDescent="0.25">
      <c r="A18" s="13" t="s">
        <v>21</v>
      </c>
      <c r="B18" s="13"/>
      <c r="O18" s="1" t="s">
        <v>21</v>
      </c>
      <c r="P18" s="4"/>
    </row>
    <row r="19" spans="1:17" x14ac:dyDescent="0.25">
      <c r="A19" s="8">
        <v>10</v>
      </c>
      <c r="B19" s="8" t="s">
        <v>9</v>
      </c>
      <c r="C19" s="8">
        <v>1</v>
      </c>
      <c r="D19" s="8">
        <f>Q19*2</f>
        <v>11.28</v>
      </c>
      <c r="F19" s="7"/>
      <c r="O19" t="s">
        <v>9</v>
      </c>
      <c r="P19" s="4">
        <v>1</v>
      </c>
      <c r="Q19">
        <v>5.64</v>
      </c>
    </row>
    <row r="20" spans="1:17" x14ac:dyDescent="0.25">
      <c r="A20" s="8">
        <v>11</v>
      </c>
      <c r="B20" s="8" t="s">
        <v>10</v>
      </c>
      <c r="C20" s="8">
        <v>1</v>
      </c>
      <c r="D20" s="8">
        <f>Q20*2</f>
        <v>14.1</v>
      </c>
      <c r="F20" s="7"/>
      <c r="O20" t="s">
        <v>10</v>
      </c>
      <c r="P20" s="4">
        <v>1</v>
      </c>
      <c r="Q20">
        <v>7.05</v>
      </c>
    </row>
    <row r="21" spans="1:17" x14ac:dyDescent="0.25">
      <c r="A21" s="18"/>
      <c r="B21" s="18"/>
      <c r="C21" s="18"/>
      <c r="D21" s="18"/>
      <c r="P21" s="4"/>
    </row>
    <row r="22" spans="1:17" x14ac:dyDescent="0.25">
      <c r="A22" s="8">
        <v>12</v>
      </c>
      <c r="B22" s="8" t="s">
        <v>11</v>
      </c>
      <c r="C22" s="8">
        <v>1</v>
      </c>
      <c r="D22" s="8">
        <f>Q22*2</f>
        <v>18.36</v>
      </c>
      <c r="F22" s="7"/>
      <c r="O22" t="s">
        <v>11</v>
      </c>
      <c r="P22" s="4">
        <v>1</v>
      </c>
      <c r="Q22">
        <v>9.18</v>
      </c>
    </row>
    <row r="23" spans="1:17" x14ac:dyDescent="0.25">
      <c r="A23" s="8">
        <v>13</v>
      </c>
      <c r="B23" s="8" t="s">
        <v>12</v>
      </c>
      <c r="C23" s="8">
        <v>1</v>
      </c>
      <c r="D23" s="8">
        <f>Q23*2</f>
        <v>23.6</v>
      </c>
      <c r="F23" s="7"/>
      <c r="O23" t="s">
        <v>12</v>
      </c>
      <c r="P23" s="4">
        <v>1</v>
      </c>
      <c r="Q23">
        <v>11.8</v>
      </c>
    </row>
    <row r="24" spans="1:17" x14ac:dyDescent="0.25">
      <c r="P24" s="4"/>
    </row>
    <row r="25" spans="1:17" x14ac:dyDescent="0.25">
      <c r="A25" s="13" t="s">
        <v>22</v>
      </c>
      <c r="B25" s="13"/>
      <c r="O25" s="1" t="s">
        <v>22</v>
      </c>
      <c r="P25" s="4"/>
    </row>
    <row r="26" spans="1:17" x14ac:dyDescent="0.25">
      <c r="A26" s="8">
        <v>14</v>
      </c>
      <c r="B26" s="8" t="s">
        <v>13</v>
      </c>
      <c r="C26" s="8">
        <v>100</v>
      </c>
      <c r="D26" s="8">
        <f>Q26*2</f>
        <v>6.6059999999999999</v>
      </c>
      <c r="F26" s="7"/>
      <c r="O26" t="s">
        <v>13</v>
      </c>
      <c r="P26" s="4">
        <v>100</v>
      </c>
      <c r="Q26">
        <f>Q33/10</f>
        <v>3.3029999999999999</v>
      </c>
    </row>
    <row r="27" spans="1:17" x14ac:dyDescent="0.25">
      <c r="A27" s="8">
        <v>15</v>
      </c>
      <c r="B27" s="8" t="s">
        <v>14</v>
      </c>
      <c r="C27" s="8">
        <v>100</v>
      </c>
      <c r="D27" s="8">
        <f t="shared" ref="D27:D31" si="3">Q27*2</f>
        <v>7.5359999999999996</v>
      </c>
      <c r="F27" s="7"/>
      <c r="O27" t="s">
        <v>14</v>
      </c>
      <c r="P27" s="4">
        <v>100</v>
      </c>
      <c r="Q27">
        <f t="shared" ref="Q27:Q31" si="4">Q34/10</f>
        <v>3.7679999999999998</v>
      </c>
    </row>
    <row r="28" spans="1:17" x14ac:dyDescent="0.25">
      <c r="A28" s="8">
        <v>16</v>
      </c>
      <c r="B28" s="8" t="s">
        <v>15</v>
      </c>
      <c r="C28" s="8">
        <v>100</v>
      </c>
      <c r="D28" s="8">
        <f t="shared" si="3"/>
        <v>7.6480000000000006</v>
      </c>
      <c r="F28" s="7"/>
      <c r="O28" t="s">
        <v>15</v>
      </c>
      <c r="P28" s="4">
        <v>100</v>
      </c>
      <c r="Q28">
        <f t="shared" si="4"/>
        <v>3.8240000000000003</v>
      </c>
    </row>
    <row r="29" spans="1:17" x14ac:dyDescent="0.25">
      <c r="A29" s="8">
        <v>17</v>
      </c>
      <c r="B29" s="8" t="s">
        <v>16</v>
      </c>
      <c r="C29" s="8">
        <v>100</v>
      </c>
      <c r="D29" s="8">
        <f t="shared" si="3"/>
        <v>8.3420000000000005</v>
      </c>
      <c r="F29" s="7"/>
      <c r="O29" t="s">
        <v>16</v>
      </c>
      <c r="P29" s="4">
        <v>100</v>
      </c>
      <c r="Q29">
        <f t="shared" si="4"/>
        <v>4.1710000000000003</v>
      </c>
    </row>
    <row r="30" spans="1:17" x14ac:dyDescent="0.25">
      <c r="A30" s="8">
        <v>18</v>
      </c>
      <c r="B30" s="8" t="s">
        <v>17</v>
      </c>
      <c r="C30" s="8">
        <v>100</v>
      </c>
      <c r="D30" s="8">
        <f t="shared" si="3"/>
        <v>8.9239999999999995</v>
      </c>
      <c r="F30" s="7"/>
      <c r="O30" t="s">
        <v>17</v>
      </c>
      <c r="P30" s="4">
        <v>100</v>
      </c>
      <c r="Q30">
        <f t="shared" si="4"/>
        <v>4.4619999999999997</v>
      </c>
    </row>
    <row r="31" spans="1:17" x14ac:dyDescent="0.25">
      <c r="A31" s="8">
        <v>19</v>
      </c>
      <c r="B31" s="8" t="s">
        <v>18</v>
      </c>
      <c r="C31" s="8">
        <v>100</v>
      </c>
      <c r="D31" s="8">
        <f t="shared" si="3"/>
        <v>9.9499999999999993</v>
      </c>
      <c r="F31" s="7"/>
      <c r="O31" t="s">
        <v>18</v>
      </c>
      <c r="P31" s="4">
        <v>100</v>
      </c>
      <c r="Q31">
        <f t="shared" si="4"/>
        <v>4.9749999999999996</v>
      </c>
    </row>
    <row r="32" spans="1:17" x14ac:dyDescent="0.25">
      <c r="P32" s="4"/>
    </row>
    <row r="33" spans="1:17" x14ac:dyDescent="0.25">
      <c r="A33" s="8">
        <v>20</v>
      </c>
      <c r="B33" s="8" t="s">
        <v>13</v>
      </c>
      <c r="C33" s="8">
        <v>1000</v>
      </c>
      <c r="D33" s="8">
        <f>Q33*1.4</f>
        <v>46.241999999999997</v>
      </c>
      <c r="F33" s="7"/>
      <c r="O33" t="s">
        <v>13</v>
      </c>
      <c r="P33" s="4">
        <v>1000</v>
      </c>
      <c r="Q33">
        <v>33.03</v>
      </c>
    </row>
    <row r="34" spans="1:17" x14ac:dyDescent="0.25">
      <c r="A34" s="8">
        <v>21</v>
      </c>
      <c r="B34" s="8" t="s">
        <v>14</v>
      </c>
      <c r="C34" s="8">
        <v>1000</v>
      </c>
      <c r="D34" s="8">
        <f t="shared" ref="D34:D38" si="5">Q34*1.4</f>
        <v>52.751999999999995</v>
      </c>
      <c r="F34" s="7"/>
      <c r="O34" t="s">
        <v>14</v>
      </c>
      <c r="P34" s="4">
        <v>1000</v>
      </c>
      <c r="Q34">
        <v>37.68</v>
      </c>
    </row>
    <row r="35" spans="1:17" x14ac:dyDescent="0.25">
      <c r="A35" s="8">
        <v>22</v>
      </c>
      <c r="B35" s="8" t="s">
        <v>15</v>
      </c>
      <c r="C35" s="8">
        <v>1000</v>
      </c>
      <c r="D35" s="8">
        <f t="shared" si="5"/>
        <v>53.536000000000001</v>
      </c>
      <c r="F35" s="7"/>
      <c r="O35" t="s">
        <v>15</v>
      </c>
      <c r="P35" s="4">
        <v>1000</v>
      </c>
      <c r="Q35">
        <v>38.24</v>
      </c>
    </row>
    <row r="36" spans="1:17" x14ac:dyDescent="0.25">
      <c r="A36" s="8">
        <v>23</v>
      </c>
      <c r="B36" s="8" t="s">
        <v>16</v>
      </c>
      <c r="C36" s="8">
        <v>1000</v>
      </c>
      <c r="D36" s="8">
        <f t="shared" si="5"/>
        <v>58.393999999999998</v>
      </c>
      <c r="F36" s="7"/>
      <c r="O36" t="s">
        <v>16</v>
      </c>
      <c r="P36" s="4">
        <v>1000</v>
      </c>
      <c r="Q36">
        <v>41.71</v>
      </c>
    </row>
    <row r="37" spans="1:17" x14ac:dyDescent="0.25">
      <c r="A37" s="8">
        <v>24</v>
      </c>
      <c r="B37" s="8" t="s">
        <v>17</v>
      </c>
      <c r="C37" s="8">
        <v>1000</v>
      </c>
      <c r="D37" s="8">
        <f t="shared" si="5"/>
        <v>62.467999999999989</v>
      </c>
      <c r="F37" s="7"/>
      <c r="O37" t="s">
        <v>17</v>
      </c>
      <c r="P37" s="4">
        <v>1000</v>
      </c>
      <c r="Q37">
        <v>44.62</v>
      </c>
    </row>
    <row r="38" spans="1:17" x14ac:dyDescent="0.25">
      <c r="A38" s="8">
        <v>25</v>
      </c>
      <c r="B38" s="8" t="s">
        <v>18</v>
      </c>
      <c r="C38" s="8">
        <v>1000</v>
      </c>
      <c r="D38" s="8">
        <f t="shared" si="5"/>
        <v>69.649999999999991</v>
      </c>
      <c r="F38" s="7"/>
      <c r="O38" t="s">
        <v>18</v>
      </c>
      <c r="P38" s="4">
        <v>1000</v>
      </c>
      <c r="Q38">
        <v>49.75</v>
      </c>
    </row>
    <row r="39" spans="1:17" x14ac:dyDescent="0.25">
      <c r="P39" s="4"/>
    </row>
    <row r="40" spans="1:17" x14ac:dyDescent="0.25">
      <c r="A40" s="13" t="s">
        <v>23</v>
      </c>
      <c r="B40" s="13"/>
      <c r="O40" s="1" t="s">
        <v>23</v>
      </c>
      <c r="P40" s="4"/>
    </row>
    <row r="41" spans="1:17" ht="31.5" customHeight="1" x14ac:dyDescent="0.25">
      <c r="A41" s="10">
        <v>26</v>
      </c>
      <c r="B41" s="16" t="s">
        <v>32</v>
      </c>
      <c r="C41" s="10">
        <v>100</v>
      </c>
      <c r="D41" s="10">
        <f>Q41*1.3</f>
        <v>16.887</v>
      </c>
      <c r="F41" s="7"/>
      <c r="O41" s="3" t="s">
        <v>25</v>
      </c>
      <c r="P41" s="4">
        <v>100</v>
      </c>
      <c r="Q41" s="9">
        <v>12.99</v>
      </c>
    </row>
    <row r="42" spans="1:17" ht="30" x14ac:dyDescent="0.25">
      <c r="A42" s="10">
        <v>27</v>
      </c>
      <c r="B42" s="16" t="s">
        <v>33</v>
      </c>
      <c r="C42" s="10">
        <v>100</v>
      </c>
      <c r="D42" s="10">
        <f t="shared" ref="D42:D43" si="6">Q42*1.3</f>
        <v>22.294999999999998</v>
      </c>
      <c r="F42" s="7"/>
      <c r="O42" s="2" t="s">
        <v>26</v>
      </c>
      <c r="P42" s="4">
        <v>100</v>
      </c>
      <c r="Q42" s="9">
        <v>17.149999999999999</v>
      </c>
    </row>
    <row r="43" spans="1:17" ht="33" customHeight="1" x14ac:dyDescent="0.25">
      <c r="A43" s="10">
        <v>28</v>
      </c>
      <c r="B43" s="16" t="s">
        <v>34</v>
      </c>
      <c r="C43" s="10">
        <v>100</v>
      </c>
      <c r="D43" s="10">
        <f t="shared" si="6"/>
        <v>32.045000000000002</v>
      </c>
      <c r="F43" s="7"/>
      <c r="O43" s="3" t="s">
        <v>27</v>
      </c>
      <c r="P43" s="4">
        <v>100</v>
      </c>
      <c r="Q43" s="9">
        <v>24.65</v>
      </c>
    </row>
    <row r="44" spans="1:17" x14ac:dyDescent="0.25">
      <c r="P44" s="4"/>
    </row>
    <row r="45" spans="1:17" x14ac:dyDescent="0.25">
      <c r="A45" s="13" t="s">
        <v>24</v>
      </c>
      <c r="B45" s="13"/>
      <c r="O45" s="1" t="s">
        <v>24</v>
      </c>
      <c r="P45" s="4"/>
    </row>
    <row r="46" spans="1:17" x14ac:dyDescent="0.25">
      <c r="A46" s="8">
        <v>29</v>
      </c>
      <c r="B46" s="8" t="s">
        <v>49</v>
      </c>
      <c r="C46" s="8">
        <v>1</v>
      </c>
      <c r="D46" s="8">
        <f>Q46*1.4</f>
        <v>9.2679999999999989</v>
      </c>
      <c r="F46" s="7"/>
      <c r="O46" t="s">
        <v>50</v>
      </c>
      <c r="P46" s="4">
        <v>1</v>
      </c>
      <c r="Q46" s="9">
        <v>6.62</v>
      </c>
    </row>
    <row r="47" spans="1:17" x14ac:dyDescent="0.25">
      <c r="A47" s="8">
        <v>30</v>
      </c>
      <c r="B47" s="8" t="s">
        <v>46</v>
      </c>
      <c r="C47" s="8">
        <v>1</v>
      </c>
      <c r="D47" s="8">
        <f>Q47*1.4</f>
        <v>5.7399999999999993</v>
      </c>
      <c r="F47" s="7"/>
      <c r="O47" t="s">
        <v>45</v>
      </c>
      <c r="P47" s="4">
        <v>1</v>
      </c>
      <c r="Q47">
        <v>4.0999999999999996</v>
      </c>
    </row>
    <row r="48" spans="1:17" x14ac:dyDescent="0.25">
      <c r="P48" s="4"/>
    </row>
    <row r="49" spans="1:17" x14ac:dyDescent="0.25">
      <c r="P49" s="4"/>
    </row>
    <row r="50" spans="1:17" x14ac:dyDescent="0.25">
      <c r="A50" s="13" t="s">
        <v>28</v>
      </c>
      <c r="B50" s="13"/>
      <c r="O50" s="1" t="s">
        <v>28</v>
      </c>
      <c r="P50" s="4"/>
    </row>
    <row r="51" spans="1:17" ht="15.75" customHeight="1" x14ac:dyDescent="0.25">
      <c r="A51" s="10">
        <v>31</v>
      </c>
      <c r="B51" s="14" t="s">
        <v>29</v>
      </c>
      <c r="C51" s="10">
        <v>1</v>
      </c>
      <c r="D51" s="10">
        <f>Q51*1.7</f>
        <v>66.3</v>
      </c>
      <c r="F51" s="7"/>
      <c r="O51" s="3" t="s">
        <v>29</v>
      </c>
      <c r="P51" s="4">
        <v>1</v>
      </c>
      <c r="Q51" s="19">
        <v>39</v>
      </c>
    </row>
    <row r="52" spans="1:17" x14ac:dyDescent="0.25">
      <c r="A52" s="10">
        <v>32</v>
      </c>
      <c r="B52" s="10" t="s">
        <v>30</v>
      </c>
      <c r="C52" s="10">
        <v>1</v>
      </c>
      <c r="D52" s="10">
        <f t="shared" ref="D52:D53" si="7">Q52*1.7</f>
        <v>112.2</v>
      </c>
      <c r="F52" s="7"/>
      <c r="O52" t="s">
        <v>30</v>
      </c>
      <c r="P52" s="4">
        <v>1</v>
      </c>
      <c r="Q52">
        <v>66</v>
      </c>
    </row>
    <row r="53" spans="1:17" x14ac:dyDescent="0.25">
      <c r="A53" s="10">
        <v>33</v>
      </c>
      <c r="B53" s="10" t="s">
        <v>31</v>
      </c>
      <c r="C53" s="10">
        <v>1</v>
      </c>
      <c r="D53" s="10">
        <f t="shared" si="7"/>
        <v>11.9</v>
      </c>
      <c r="F53" s="7"/>
      <c r="O53" t="s">
        <v>31</v>
      </c>
      <c r="P53" s="4">
        <v>1</v>
      </c>
      <c r="Q53">
        <v>7</v>
      </c>
    </row>
    <row r="56" spans="1:17" x14ac:dyDescent="0.25">
      <c r="A56" s="12" t="s">
        <v>36</v>
      </c>
      <c r="B56" s="12"/>
      <c r="O56" s="1" t="s">
        <v>36</v>
      </c>
      <c r="P56" s="4"/>
    </row>
    <row r="57" spans="1:17" x14ac:dyDescent="0.25">
      <c r="A57" s="8">
        <v>34</v>
      </c>
      <c r="B57" s="8" t="s">
        <v>37</v>
      </c>
      <c r="C57" s="8">
        <v>1</v>
      </c>
      <c r="D57" s="8">
        <v>5.5</v>
      </c>
      <c r="F57" s="7"/>
      <c r="O57" t="s">
        <v>37</v>
      </c>
      <c r="P57">
        <v>1</v>
      </c>
      <c r="Q57">
        <v>2.15</v>
      </c>
    </row>
    <row r="60" spans="1:17" x14ac:dyDescent="0.25">
      <c r="A60" s="8">
        <v>35</v>
      </c>
      <c r="B60" s="8" t="s">
        <v>38</v>
      </c>
      <c r="C60" s="8" t="s">
        <v>39</v>
      </c>
      <c r="D60" s="8" t="s">
        <v>40</v>
      </c>
      <c r="F60" s="7"/>
    </row>
    <row r="61" spans="1:17" x14ac:dyDescent="0.25">
      <c r="B61" s="8" t="s">
        <v>44</v>
      </c>
      <c r="C61" s="8">
        <v>5</v>
      </c>
    </row>
    <row r="62" spans="1:17" x14ac:dyDescent="0.25">
      <c r="B62" s="8" t="s">
        <v>43</v>
      </c>
      <c r="C62" s="8">
        <v>5</v>
      </c>
    </row>
    <row r="63" spans="1:17" x14ac:dyDescent="0.25">
      <c r="B63" s="8" t="s">
        <v>42</v>
      </c>
      <c r="C63" s="8">
        <v>1</v>
      </c>
    </row>
    <row r="64" spans="1:17" x14ac:dyDescent="0.25">
      <c r="B64" s="8" t="s">
        <v>41</v>
      </c>
      <c r="C64" s="8">
        <v>2</v>
      </c>
    </row>
  </sheetData>
  <mergeCells count="9">
    <mergeCell ref="A56:B56"/>
    <mergeCell ref="A40:B40"/>
    <mergeCell ref="A45:B45"/>
    <mergeCell ref="A50:B50"/>
    <mergeCell ref="A1:D1"/>
    <mergeCell ref="A4:B4"/>
    <mergeCell ref="A13:B13"/>
    <mergeCell ref="A18:B18"/>
    <mergeCell ref="A25:B25"/>
  </mergeCells>
  <pageMargins left="0.70866141732283472" right="0.70866141732283472" top="0.74803149606299213" bottom="0.74803149606299213" header="0.31496062992125984" footer="0.31496062992125984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Blad1</vt:lpstr>
      <vt:lpstr>Blad1!Afdrukbereik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</dc:creator>
  <cp:lastModifiedBy>Timo</cp:lastModifiedBy>
  <cp:lastPrinted>2025-02-05T14:57:56Z</cp:lastPrinted>
  <dcterms:created xsi:type="dcterms:W3CDTF">2024-11-21T09:08:22Z</dcterms:created>
  <dcterms:modified xsi:type="dcterms:W3CDTF">2025-02-05T14:59:07Z</dcterms:modified>
</cp:coreProperties>
</file>